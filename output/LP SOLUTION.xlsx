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AD OPTIMIZATION\output\"/>
    </mc:Choice>
  </mc:AlternateContent>
  <xr:revisionPtr revIDLastSave="0" documentId="8_{30D268E5-C6C9-4838-95AA-21780B100CE1}" xr6:coauthVersionLast="47" xr6:coauthVersionMax="47" xr10:uidLastSave="{00000000-0000-0000-0000-000000000000}"/>
  <bookViews>
    <workbookView xWindow="-110" yWindow="-110" windowWidth="19420" windowHeight="10300" xr2:uid="{D87936BB-2E30-45BB-A295-4D66BFE55BD2}"/>
  </bookViews>
  <sheets>
    <sheet name="Sheet1" sheetId="1" r:id="rId1"/>
  </sheets>
  <definedNames>
    <definedName name="solver_adj" localSheetId="0" hidden="1">Sheet1!$B$5:$B$7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Sheet1!$B$5</definedName>
    <definedName name="solver_lhs2" localSheetId="0" hidden="1">Sheet1!$B$6</definedName>
    <definedName name="solver_lhs3" localSheetId="0" hidden="1">Sheet1!$B$7</definedName>
    <definedName name="solver_lhs4" localSheetId="0" hidden="1">Sheet1!$B$8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4</definedName>
    <definedName name="solver_nwt" localSheetId="0" hidden="1">1</definedName>
    <definedName name="solver_opt" localSheetId="0" hidden="1">Sheet1!$B$15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el2" localSheetId="0" hidden="1">1</definedName>
    <definedName name="solver_rel3" localSheetId="0" hidden="1">1</definedName>
    <definedName name="solver_rel4" localSheetId="0" hidden="1">1</definedName>
    <definedName name="solver_rhs1" localSheetId="0" hidden="1">Sheet1!$B$19</definedName>
    <definedName name="solver_rhs2" localSheetId="0" hidden="1">Sheet1!$B$20</definedName>
    <definedName name="solver_rhs3" localSheetId="0" hidden="1">Sheet1!$B$21</definedName>
    <definedName name="solver_rhs4" localSheetId="0" hidden="1">Sheet1!$B$18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4" i="1" l="1"/>
  <c r="B13" i="1"/>
  <c r="B12" i="1"/>
  <c r="B8" i="1"/>
  <c r="B15" i="1" l="1"/>
</calcChain>
</file>

<file path=xl/sharedStrings.xml><?xml version="1.0" encoding="utf-8"?>
<sst xmlns="http://schemas.openxmlformats.org/spreadsheetml/2006/main" count="20" uniqueCount="19">
  <si>
    <t>AD BUDGET ALLOCATION-LP</t>
  </si>
  <si>
    <t>Decision Variables</t>
  </si>
  <si>
    <t>Channel</t>
  </si>
  <si>
    <t>Allocation ($000s)</t>
  </si>
  <si>
    <t>Marginal Return</t>
  </si>
  <si>
    <t>TV</t>
  </si>
  <si>
    <t>RADIO</t>
  </si>
  <si>
    <t>NEWSPAPER</t>
  </si>
  <si>
    <t>TOTAL</t>
  </si>
  <si>
    <t>Predicted Sales</t>
  </si>
  <si>
    <t>Intercept</t>
  </si>
  <si>
    <t>TV Contribution</t>
  </si>
  <si>
    <t>Radio Contribution</t>
  </si>
  <si>
    <t>Newspaper Contribution</t>
  </si>
  <si>
    <t>Constraints</t>
  </si>
  <si>
    <t>Total Budget</t>
  </si>
  <si>
    <t>TV Maximum</t>
  </si>
  <si>
    <t>Radio Maximum</t>
  </si>
  <si>
    <t>Newspaper Maximum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</si>
</sst>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ndara"/>
      <family val="2"/>
    </font>
    <font>
      <b/>
      <sz val="11"/>
      <color theme="1"/>
      <name val="Candar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  <xf numFmtId="0" fontId="1" fillId="0" borderId="0" xfId="0" applyFont="1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Font="1" applyAlignment="1">
      <alignment vertical="center" wrapText="1"/>
    </xf>
    <xf numFmtId="0" fontId="3" fillId="0" borderId="0" xfId="0" applyFont="1"/>
    <xf numFmtId="0" fontId="2" fillId="2" borderId="0" xfId="0" applyFont="1" applyFill="1"/>
    <xf numFmtId="0" fontId="0" fillId="3" borderId="0" xfId="0" applyFill="1" applyAlignment="1">
      <alignment vertical="center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86799-1283-4E92-AB59-FC65FBEBE413}">
  <dimension ref="A1:C21"/>
  <sheetViews>
    <sheetView tabSelected="1" workbookViewId="0">
      <selection activeCell="B15" sqref="B15"/>
    </sheetView>
  </sheetViews>
  <sheetFormatPr defaultRowHeight="14.5" x14ac:dyDescent="0.35"/>
  <cols>
    <col min="1" max="1" width="20.54296875" customWidth="1"/>
    <col min="2" max="2" width="18.81640625" customWidth="1"/>
    <col min="3" max="3" width="22.54296875" customWidth="1"/>
  </cols>
  <sheetData>
    <row r="1" spans="1:3" x14ac:dyDescent="0.35">
      <c r="A1" s="2" t="s">
        <v>0</v>
      </c>
    </row>
    <row r="3" spans="1:3" x14ac:dyDescent="0.35">
      <c r="A3" s="7" t="s">
        <v>1</v>
      </c>
      <c r="B3" s="1"/>
      <c r="C3" s="1"/>
    </row>
    <row r="4" spans="1:3" x14ac:dyDescent="0.35">
      <c r="A4" s="1" t="s">
        <v>2</v>
      </c>
      <c r="B4" s="1" t="s">
        <v>3</v>
      </c>
      <c r="C4" s="1" t="s">
        <v>4</v>
      </c>
    </row>
    <row r="5" spans="1:3" x14ac:dyDescent="0.35">
      <c r="A5" s="1" t="s">
        <v>5</v>
      </c>
      <c r="B5" s="8">
        <v>151.26050000000001</v>
      </c>
      <c r="C5" s="1">
        <v>5.4449999999999998E-2</v>
      </c>
    </row>
    <row r="6" spans="1:3" x14ac:dyDescent="0.35">
      <c r="A6" s="1" t="s">
        <v>6</v>
      </c>
      <c r="B6" s="8">
        <v>49.6</v>
      </c>
      <c r="C6" s="1">
        <v>0.107</v>
      </c>
    </row>
    <row r="7" spans="1:3" x14ac:dyDescent="0.35">
      <c r="A7" s="1" t="s">
        <v>7</v>
      </c>
      <c r="B7" s="8">
        <v>0</v>
      </c>
      <c r="C7" s="1">
        <v>3.4000000000000002E-4</v>
      </c>
    </row>
    <row r="8" spans="1:3" x14ac:dyDescent="0.35">
      <c r="A8" s="3" t="s">
        <v>8</v>
      </c>
      <c r="B8" s="3">
        <f>SUM(B5:B7)</f>
        <v>200.8605</v>
      </c>
    </row>
    <row r="10" spans="1:3" x14ac:dyDescent="0.35">
      <c r="A10" s="5" t="s">
        <v>9</v>
      </c>
    </row>
    <row r="11" spans="1:3" x14ac:dyDescent="0.35">
      <c r="A11" s="6" t="s">
        <v>10</v>
      </c>
      <c r="B11" s="4">
        <v>4.6250999999999998</v>
      </c>
    </row>
    <row r="12" spans="1:3" x14ac:dyDescent="0.35">
      <c r="A12" t="s">
        <v>11</v>
      </c>
      <c r="B12" s="9">
        <f>B5*C5</f>
        <v>8.2361342250000007</v>
      </c>
    </row>
    <row r="13" spans="1:3" x14ac:dyDescent="0.35">
      <c r="A13" t="s">
        <v>12</v>
      </c>
      <c r="B13" s="10">
        <f>B6*C6</f>
        <v>5.3071999999999999</v>
      </c>
    </row>
    <row r="14" spans="1:3" x14ac:dyDescent="0.35">
      <c r="A14" t="s">
        <v>13</v>
      </c>
      <c r="B14" s="10">
        <f>B7*C7</f>
        <v>0</v>
      </c>
    </row>
    <row r="15" spans="1:3" x14ac:dyDescent="0.35">
      <c r="A15" s="4" t="s">
        <v>9</v>
      </c>
      <c r="B15" s="3">
        <f>B11+ SUM(B12:B14)</f>
        <v>18.168434224999999</v>
      </c>
    </row>
    <row r="17" spans="1:2" x14ac:dyDescent="0.35">
      <c r="A17" s="3" t="s">
        <v>14</v>
      </c>
    </row>
    <row r="18" spans="1:2" x14ac:dyDescent="0.35">
      <c r="A18" t="s">
        <v>15</v>
      </c>
      <c r="B18">
        <v>200.8605</v>
      </c>
    </row>
    <row r="19" spans="1:2" x14ac:dyDescent="0.35">
      <c r="A19" t="s">
        <v>16</v>
      </c>
      <c r="B19">
        <v>296.39999999999998</v>
      </c>
    </row>
    <row r="20" spans="1:2" x14ac:dyDescent="0.35">
      <c r="A20" t="s">
        <v>17</v>
      </c>
      <c r="B20">
        <v>49.6</v>
      </c>
    </row>
    <row r="21" spans="1:2" x14ac:dyDescent="0.35">
      <c r="A21" t="s">
        <v>18</v>
      </c>
      <c r="B21">
        <v>114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Sharon krasi</dc:creator>
  <cp:lastModifiedBy>Sharon krasi</cp:lastModifiedBy>
  <dcterms:created xsi:type="dcterms:W3CDTF">2026-08-22T16:00:35Z</dcterms:created>
  <dcterms:modified xsi:type="dcterms:W3CDTF">2026-08-22T16:22:29Z</dcterms:modified>
</cp:coreProperties>
</file>