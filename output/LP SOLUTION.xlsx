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AD OPTIMIZATION\output\"/>
    </mc:Choice>
  </mc:AlternateContent>
  <xr:revisionPtr revIDLastSave="0" documentId="13_ncr:1_{5992B5CD-F85E-4CDD-864A-923D2764D1C3}" xr6:coauthVersionLast="47" xr6:coauthVersionMax="47" xr10:uidLastSave="{00000000-0000-0000-0000-000000000000}"/>
  <bookViews>
    <workbookView xWindow="-110" yWindow="-110" windowWidth="19420" windowHeight="10300" xr2:uid="{D87936BB-2E30-45BB-A295-4D66BFE55BD2}"/>
  </bookViews>
  <sheets>
    <sheet name="Sheet1" sheetId="1" r:id="rId1"/>
  </sheets>
  <definedNames>
    <definedName name="solver_adj" localSheetId="0" hidden="1">Sheet1!$B$5:$B$7</definedName>
    <definedName name="solver_cvg" localSheetId="0" hidden="1">0.0001</definedName>
    <definedName name="solver_drv" localSheetId="0" hidden="1">1</definedName>
    <definedName name="solver_eng" localSheetId="0" hidden="1">2</definedName>
    <definedName name="solver_est" localSheetId="0" hidden="1">1</definedName>
    <definedName name="solver_itr" localSheetId="0" hidden="1">2147483647</definedName>
    <definedName name="solver_lhs1" localSheetId="0" hidden="1">Sheet1!$B$5</definedName>
    <definedName name="solver_lhs2" localSheetId="0" hidden="1">Sheet1!$B$6</definedName>
    <definedName name="solver_lhs3" localSheetId="0" hidden="1">Sheet1!$B$7</definedName>
    <definedName name="solver_lhs4" localSheetId="0" hidden="1">Sheet1!$B$8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4</definedName>
    <definedName name="solver_nwt" localSheetId="0" hidden="1">1</definedName>
    <definedName name="solver_pre" localSheetId="0" hidden="1">0.000001</definedName>
    <definedName name="solver_rbv" localSheetId="0" hidden="1">1</definedName>
    <definedName name="solver_rel1" localSheetId="0" hidden="1">1</definedName>
    <definedName name="solver_rel2" localSheetId="0" hidden="1">1</definedName>
    <definedName name="solver_rel3" localSheetId="0" hidden="1">1</definedName>
    <definedName name="solver_rel4" localSheetId="0" hidden="1">1</definedName>
    <definedName name="solver_rhs1" localSheetId="0" hidden="1">Sheet1!$B$19</definedName>
    <definedName name="solver_rhs2" localSheetId="0" hidden="1">Sheet1!$B$20</definedName>
    <definedName name="solver_rhs3" localSheetId="0" hidden="1">Sheet1!$B$21</definedName>
    <definedName name="solver_rhs4" localSheetId="0" hidden="1">Sheet1!$B$18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4" i="1" l="1"/>
  <c r="E34" i="1" s="1"/>
  <c r="C34" i="1"/>
  <c r="B15" i="1"/>
  <c r="D35" i="1"/>
  <c r="G28" i="1"/>
  <c r="G27" i="1"/>
  <c r="G26" i="1"/>
  <c r="F29" i="1"/>
  <c r="F27" i="1"/>
  <c r="F28" i="1"/>
  <c r="F26" i="1"/>
  <c r="E29" i="1"/>
  <c r="E27" i="1"/>
  <c r="E28" i="1"/>
  <c r="E26" i="1"/>
  <c r="C29" i="1"/>
  <c r="C27" i="1"/>
  <c r="C28" i="1"/>
  <c r="C26" i="1"/>
  <c r="D29" i="1"/>
  <c r="D34" i="1" l="1"/>
  <c r="B14" i="1" l="1"/>
  <c r="B13" i="1"/>
  <c r="B12" i="1"/>
  <c r="B8" i="1"/>
</calcChain>
</file>

<file path=xl/sharedStrings.xml><?xml version="1.0" encoding="utf-8"?>
<sst xmlns="http://schemas.openxmlformats.org/spreadsheetml/2006/main" count="40" uniqueCount="35">
  <si>
    <t>AD BUDGET ALLOCATION-LP</t>
  </si>
  <si>
    <t>Decision Variables</t>
  </si>
  <si>
    <t>Channel</t>
  </si>
  <si>
    <t>Allocation ($000s)</t>
  </si>
  <si>
    <t>Marginal Return</t>
  </si>
  <si>
    <t>TV</t>
  </si>
  <si>
    <t>RADIO</t>
  </si>
  <si>
    <t>NEWSPAPER</t>
  </si>
  <si>
    <t>TOTAL</t>
  </si>
  <si>
    <t>Predicted Sales</t>
  </si>
  <si>
    <t>Intercept</t>
  </si>
  <si>
    <t>TV Contribution</t>
  </si>
  <si>
    <t>Radio Contribution</t>
  </si>
  <si>
    <t>Newspaper Contribution</t>
  </si>
  <si>
    <t>Constraints</t>
  </si>
  <si>
    <t>Total Budget</t>
  </si>
  <si>
    <t>TV Maximum</t>
  </si>
  <si>
    <t>Radio Maximum</t>
  </si>
  <si>
    <t>Newspaper Maximum</t>
  </si>
  <si>
    <t>Baseline vs Optimized Allocation</t>
  </si>
  <si>
    <t>Baseline Spend ($000s)</t>
  </si>
  <si>
    <t>Baseline Share (%)</t>
  </si>
  <si>
    <t>Optimized Share (%)</t>
  </si>
  <si>
    <t>Change (000s)</t>
  </si>
  <si>
    <t>Change (%)</t>
  </si>
  <si>
    <t>Optimized Spend (000s)</t>
  </si>
  <si>
    <t>Total</t>
  </si>
  <si>
    <t>Newspaper</t>
  </si>
  <si>
    <t>Radio</t>
  </si>
  <si>
    <t>Baseline vs Optimized Performance</t>
  </si>
  <si>
    <t>Metric</t>
  </si>
  <si>
    <t>Baseline</t>
  </si>
  <si>
    <t>Optimized</t>
  </si>
  <si>
    <t>Improvement</t>
  </si>
  <si>
    <t xml:space="preserve"> Improvement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</si>
</sst>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ndara"/>
      <family val="2"/>
    </font>
    <font>
      <sz val="12"/>
      <color theme="1"/>
      <name val="Candara"/>
      <family val="2"/>
    </font>
    <font>
      <b/>
      <sz val="16"/>
      <color theme="1"/>
      <name val="Candara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6">
    <xf numFmtId="0" fontId="0" fillId="0" borderId="0" xfId="0"/>
    <xf numFmtId="0" fontId="2" fillId="0" borderId="0" xfId="0" applyFont="1" applyAlignment="1">
      <alignment wrapText="1"/>
    </xf>
    <xf numFmtId="0" fontId="2" fillId="0" borderId="0" xfId="0" applyFont="1"/>
    <xf numFmtId="0" fontId="3" fillId="0" borderId="0" xfId="0" applyFont="1"/>
    <xf numFmtId="0" fontId="3" fillId="2" borderId="0" xfId="0" applyFont="1" applyFill="1"/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3" fillId="3" borderId="0" xfId="0" applyFont="1" applyFill="1" applyAlignment="1">
      <alignment vertical="center" wrapText="1"/>
    </xf>
    <xf numFmtId="0" fontId="3" fillId="3" borderId="0" xfId="0" applyFont="1" applyFill="1"/>
    <xf numFmtId="10" fontId="3" fillId="4" borderId="0" xfId="1" applyNumberFormat="1" applyFont="1" applyFill="1"/>
    <xf numFmtId="0" fontId="3" fillId="5" borderId="0" xfId="0" applyFont="1" applyFill="1"/>
    <xf numFmtId="10" fontId="3" fillId="5" borderId="0" xfId="1" applyNumberFormat="1" applyFont="1" applyFill="1"/>
    <xf numFmtId="9" fontId="3" fillId="4" borderId="0" xfId="1" applyFont="1" applyFill="1"/>
    <xf numFmtId="0" fontId="3" fillId="6" borderId="0" xfId="0" applyFont="1" applyFill="1"/>
    <xf numFmtId="10" fontId="3" fillId="6" borderId="0" xfId="1" applyNumberFormat="1" applyFont="1" applyFill="1"/>
    <xf numFmtId="0" fontId="4" fillId="0" borderId="0" xfId="0" applyFont="1" applyAlignment="1">
      <alignment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86799-1283-4E92-AB59-FC65FBEBE413}">
  <dimension ref="A1:G35"/>
  <sheetViews>
    <sheetView tabSelected="1" workbookViewId="0">
      <selection activeCell="D26" sqref="D26:D28"/>
    </sheetView>
  </sheetViews>
  <sheetFormatPr defaultRowHeight="15.5" x14ac:dyDescent="0.35"/>
  <cols>
    <col min="1" max="1" width="40.453125" style="3" customWidth="1"/>
    <col min="2" max="2" width="21.453125" style="3" customWidth="1"/>
    <col min="3" max="3" width="9.6328125" style="3" customWidth="1"/>
    <col min="4" max="4" width="41.08984375" style="3" customWidth="1"/>
    <col min="5" max="5" width="19.453125" style="3" customWidth="1"/>
    <col min="6" max="6" width="14.7265625" style="3" customWidth="1"/>
    <col min="7" max="7" width="11" style="3" customWidth="1"/>
    <col min="8" max="16384" width="8.7265625" style="3"/>
  </cols>
  <sheetData>
    <row r="1" spans="1:4" s="2" customFormat="1" ht="21" x14ac:dyDescent="0.5">
      <c r="D1" s="15" t="s">
        <v>0</v>
      </c>
    </row>
    <row r="3" spans="1:4" x14ac:dyDescent="0.35">
      <c r="A3" s="2" t="s">
        <v>1</v>
      </c>
    </row>
    <row r="4" spans="1:4" s="2" customFormat="1" x14ac:dyDescent="0.35">
      <c r="A4" s="2" t="s">
        <v>2</v>
      </c>
      <c r="B4" s="2" t="s">
        <v>3</v>
      </c>
      <c r="C4" s="2" t="s">
        <v>4</v>
      </c>
    </row>
    <row r="5" spans="1:4" x14ac:dyDescent="0.35">
      <c r="A5" s="3" t="s">
        <v>5</v>
      </c>
      <c r="B5" s="4">
        <v>151.26050000000001</v>
      </c>
      <c r="C5" s="3">
        <v>5.4449999999999998E-2</v>
      </c>
    </row>
    <row r="6" spans="1:4" x14ac:dyDescent="0.35">
      <c r="A6" s="3" t="s">
        <v>6</v>
      </c>
      <c r="B6" s="4">
        <v>49.6</v>
      </c>
      <c r="C6" s="3">
        <v>0.107</v>
      </c>
    </row>
    <row r="7" spans="1:4" x14ac:dyDescent="0.35">
      <c r="A7" s="3" t="s">
        <v>7</v>
      </c>
      <c r="B7" s="4">
        <v>0</v>
      </c>
      <c r="C7" s="3">
        <v>3.4000000000000002E-4</v>
      </c>
    </row>
    <row r="8" spans="1:4" x14ac:dyDescent="0.35">
      <c r="A8" s="2" t="s">
        <v>8</v>
      </c>
      <c r="B8" s="2">
        <f>SUM(B5:B7)</f>
        <v>200.8605</v>
      </c>
    </row>
    <row r="10" spans="1:4" x14ac:dyDescent="0.35">
      <c r="A10" s="5" t="s">
        <v>9</v>
      </c>
    </row>
    <row r="11" spans="1:4" x14ac:dyDescent="0.35">
      <c r="A11" s="6" t="s">
        <v>10</v>
      </c>
      <c r="B11" s="6">
        <v>4.6250999999999998</v>
      </c>
    </row>
    <row r="12" spans="1:4" x14ac:dyDescent="0.35">
      <c r="A12" s="3" t="s">
        <v>11</v>
      </c>
      <c r="B12" s="7">
        <f>B5*C5</f>
        <v>8.2361342250000007</v>
      </c>
    </row>
    <row r="13" spans="1:4" x14ac:dyDescent="0.35">
      <c r="A13" s="3" t="s">
        <v>12</v>
      </c>
      <c r="B13" s="8">
        <f>B6*C6</f>
        <v>5.3071999999999999</v>
      </c>
    </row>
    <row r="14" spans="1:4" x14ac:dyDescent="0.35">
      <c r="A14" s="3" t="s">
        <v>13</v>
      </c>
      <c r="B14" s="8">
        <f>B7*C7</f>
        <v>0</v>
      </c>
    </row>
    <row r="15" spans="1:4" x14ac:dyDescent="0.35">
      <c r="A15" s="6" t="s">
        <v>9</v>
      </c>
      <c r="B15" s="2">
        <f>B11+SUM(B12:B14)</f>
        <v>18.168434224999999</v>
      </c>
    </row>
    <row r="17" spans="1:7" x14ac:dyDescent="0.35">
      <c r="A17" s="2" t="s">
        <v>14</v>
      </c>
    </row>
    <row r="18" spans="1:7" x14ac:dyDescent="0.35">
      <c r="A18" s="3" t="s">
        <v>15</v>
      </c>
      <c r="B18" s="3">
        <v>200.8605</v>
      </c>
    </row>
    <row r="19" spans="1:7" x14ac:dyDescent="0.35">
      <c r="A19" s="3" t="s">
        <v>16</v>
      </c>
      <c r="B19" s="3">
        <v>296.39999999999998</v>
      </c>
    </row>
    <row r="20" spans="1:7" x14ac:dyDescent="0.35">
      <c r="A20" s="3" t="s">
        <v>17</v>
      </c>
      <c r="B20" s="3">
        <v>49.6</v>
      </c>
    </row>
    <row r="21" spans="1:7" x14ac:dyDescent="0.35">
      <c r="A21" s="3" t="s">
        <v>18</v>
      </c>
      <c r="B21" s="3">
        <v>114</v>
      </c>
    </row>
    <row r="24" spans="1:7" x14ac:dyDescent="0.35">
      <c r="A24" s="2" t="s">
        <v>19</v>
      </c>
    </row>
    <row r="25" spans="1:7" s="2" customFormat="1" ht="31" x14ac:dyDescent="0.35">
      <c r="A25" s="2" t="s">
        <v>2</v>
      </c>
      <c r="B25" s="2" t="s">
        <v>20</v>
      </c>
      <c r="C25" s="2" t="s">
        <v>21</v>
      </c>
      <c r="D25" s="1" t="s">
        <v>25</v>
      </c>
      <c r="E25" s="2" t="s">
        <v>22</v>
      </c>
      <c r="F25" s="1" t="s">
        <v>23</v>
      </c>
      <c r="G25" s="2" t="s">
        <v>24</v>
      </c>
    </row>
    <row r="26" spans="1:7" x14ac:dyDescent="0.35">
      <c r="A26" s="3" t="s">
        <v>5</v>
      </c>
      <c r="B26" s="6">
        <v>147.04249999999999</v>
      </c>
      <c r="C26" s="9">
        <f>B26/$B$29</f>
        <v>0.73206279980384392</v>
      </c>
      <c r="D26" s="3">
        <v>151.26050000000001</v>
      </c>
      <c r="E26" s="9">
        <f>D26/$D$29</f>
        <v>0.75306244881397788</v>
      </c>
      <c r="F26" s="10">
        <f>D26-B26</f>
        <v>4.2180000000000177</v>
      </c>
      <c r="G26" s="11">
        <f>(D26-B26)/B26</f>
        <v>2.8685584099835203E-2</v>
      </c>
    </row>
    <row r="27" spans="1:7" x14ac:dyDescent="0.35">
      <c r="A27" s="3" t="s">
        <v>28</v>
      </c>
      <c r="B27" s="3">
        <v>23.263999999999999</v>
      </c>
      <c r="C27" s="9">
        <f t="shared" ref="C27:C28" si="0">B27/$B$29</f>
        <v>0.11582167723370199</v>
      </c>
      <c r="D27" s="3">
        <v>49.6</v>
      </c>
      <c r="E27" s="9">
        <f t="shared" ref="E27:E28" si="1">D27/$D$29</f>
        <v>0.24693755118602215</v>
      </c>
      <c r="F27" s="10">
        <f t="shared" ref="F27:F28" si="2">D27-B27</f>
        <v>26.336000000000002</v>
      </c>
      <c r="G27" s="11">
        <f t="shared" ref="G27:G28" si="3">(D27-B27)/B27</f>
        <v>1.1320495185694637</v>
      </c>
    </row>
    <row r="28" spans="1:7" x14ac:dyDescent="0.35">
      <c r="A28" s="3" t="s">
        <v>27</v>
      </c>
      <c r="B28" s="3">
        <v>30.553999999999998</v>
      </c>
      <c r="C28" s="9">
        <f t="shared" si="0"/>
        <v>0.15211552296245404</v>
      </c>
      <c r="D28" s="3">
        <v>0</v>
      </c>
      <c r="E28" s="9">
        <f t="shared" si="1"/>
        <v>0</v>
      </c>
      <c r="F28" s="10">
        <f t="shared" si="2"/>
        <v>-30.553999999999998</v>
      </c>
      <c r="G28" s="11">
        <f t="shared" si="3"/>
        <v>-1</v>
      </c>
    </row>
    <row r="29" spans="1:7" x14ac:dyDescent="0.35">
      <c r="A29" s="3" t="s">
        <v>26</v>
      </c>
      <c r="B29" s="2">
        <v>200.8605</v>
      </c>
      <c r="C29" s="12">
        <f>SUM(C26:C28)</f>
        <v>0.99999999999999989</v>
      </c>
      <c r="D29" s="3">
        <f>SUM(D26:D28)</f>
        <v>200.8605</v>
      </c>
      <c r="E29" s="12">
        <f>SUM(E26:E28)</f>
        <v>1</v>
      </c>
      <c r="F29" s="10">
        <f>SUM(F26:F28)</f>
        <v>0</v>
      </c>
      <c r="G29" s="11">
        <v>0</v>
      </c>
    </row>
    <row r="31" spans="1:7" ht="53" customHeight="1" x14ac:dyDescent="0.35"/>
    <row r="32" spans="1:7" ht="31" x14ac:dyDescent="0.35">
      <c r="A32" s="5" t="s">
        <v>29</v>
      </c>
    </row>
    <row r="33" spans="1:5" x14ac:dyDescent="0.35">
      <c r="A33" s="6" t="s">
        <v>30</v>
      </c>
      <c r="B33" s="3" t="s">
        <v>31</v>
      </c>
      <c r="C33" s="3" t="s">
        <v>32</v>
      </c>
      <c r="D33" s="3" t="s">
        <v>33</v>
      </c>
      <c r="E33" s="3" t="s">
        <v>34</v>
      </c>
    </row>
    <row r="34" spans="1:5" x14ac:dyDescent="0.35">
      <c r="A34" s="6" t="s">
        <v>9</v>
      </c>
      <c r="B34" s="3">
        <f>$B$11+($B$26*$C$5)+($B$27*$C$6)+($B$28*$C$7)</f>
        <v>15.131200484999999</v>
      </c>
      <c r="C34" s="3">
        <f>$B$15</f>
        <v>18.168434224999999</v>
      </c>
      <c r="D34" s="13">
        <f>C34-B34</f>
        <v>3.0372337399999996</v>
      </c>
      <c r="E34" s="14">
        <f>(C34-B34)/B34</f>
        <v>0.20072655457912267</v>
      </c>
    </row>
    <row r="35" spans="1:5" x14ac:dyDescent="0.35">
      <c r="A35" s="3" t="s">
        <v>15</v>
      </c>
      <c r="B35" s="2">
        <v>200.8605</v>
      </c>
      <c r="C35" s="3">
        <v>200.8605</v>
      </c>
      <c r="D35" s="13">
        <f>C35-B35</f>
        <v>0</v>
      </c>
      <c r="E35" s="13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Sharon krasi</dc:creator>
  <cp:lastModifiedBy>Sharon krasi</cp:lastModifiedBy>
  <dcterms:created xsi:type="dcterms:W3CDTF">2026-08-22T16:00:35Z</dcterms:created>
  <dcterms:modified xsi:type="dcterms:W3CDTF">2026-08-22T17:08:28Z</dcterms:modified>
</cp:coreProperties>
</file>